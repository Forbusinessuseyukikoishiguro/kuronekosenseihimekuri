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数・進捗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<sst xmlns="http://schemas.openxmlformats.org/spreadsheetml/2006/main" count="55" uniqueCount="39">
  <si>
    <t xml:space="preserve">黒猫先生の日めくり ― 工数・進捗率まとめ（概算）</t>
  </si>
  <si>
    <r>
      <rPr>
        <sz val="9"/>
        <color rgb="FF666666"/>
        <rFont val="Noto Sans CJK SC"/>
        <family val="2"/>
      </rPr>
      <t xml:space="preserve">基準日 </t>
    </r>
    <r>
      <rPr>
        <sz val="9"/>
        <color rgb="FF666666"/>
        <rFont val="Arial"/>
        <family val="0"/>
        <charset val="1"/>
      </rPr>
      <t xml:space="preserve">2026-10-10</t>
    </r>
    <r>
      <rPr>
        <sz val="9"/>
        <color rgb="FF666666"/>
        <rFont val="Noto Sans CJK SC"/>
        <family val="2"/>
      </rPr>
      <t xml:space="preserve">（土）／ 申請目標 </t>
    </r>
    <r>
      <rPr>
        <sz val="9"/>
        <color rgb="FF666666"/>
        <rFont val="Arial"/>
        <family val="0"/>
        <charset val="1"/>
      </rPr>
      <t xml:space="preserve">2026-10-11</t>
    </r>
    <r>
      <rPr>
        <sz val="9"/>
        <color rgb="FF666666"/>
        <rFont val="Noto Sans CJK SC"/>
        <family val="2"/>
      </rPr>
      <t xml:space="preserve">（日）／ 工数は実測ではなく目安（概算）</t>
    </r>
  </si>
  <si>
    <t xml:space="preserve">凡例：黄色セル＝入力（進捗率をここで更新）／「完了工数」「残工数」は自動計算</t>
  </si>
  <si>
    <t xml:space="preserve">フェーズ</t>
  </si>
  <si>
    <t xml:space="preserve">区分</t>
  </si>
  <si>
    <r>
      <rPr>
        <b val="true"/>
        <sz val="11"/>
        <color rgb="FFFFFFFF"/>
        <rFont val="Noto Sans CJK SC"/>
        <family val="2"/>
      </rPr>
      <t xml:space="preserve">工数</t>
    </r>
    <r>
      <rPr>
        <b val="true"/>
        <sz val="11"/>
        <color rgb="FFFFFFFF"/>
        <rFont val="Arial"/>
        <family val="0"/>
        <charset val="1"/>
      </rPr>
      <t xml:space="preserve">(h)</t>
    </r>
  </si>
  <si>
    <t xml:space="preserve">進捗率</t>
  </si>
  <si>
    <r>
      <rPr>
        <b val="true"/>
        <sz val="11"/>
        <color rgb="FFFFFFFF"/>
        <rFont val="Noto Sans CJK SC"/>
        <family val="2"/>
      </rPr>
      <t xml:space="preserve">完了工数</t>
    </r>
    <r>
      <rPr>
        <b val="true"/>
        <sz val="11"/>
        <color rgb="FFFFFFFF"/>
        <rFont val="Arial"/>
        <family val="0"/>
        <charset val="1"/>
      </rPr>
      <t xml:space="preserve">(h)</t>
    </r>
  </si>
  <si>
    <r>
      <rPr>
        <b val="true"/>
        <sz val="11"/>
        <color rgb="FFFFFFFF"/>
        <rFont val="Noto Sans CJK SC"/>
        <family val="2"/>
      </rPr>
      <t xml:space="preserve">残工数</t>
    </r>
    <r>
      <rPr>
        <b val="true"/>
        <sz val="11"/>
        <color rgb="FFFFFFFF"/>
        <rFont val="Arial"/>
        <family val="0"/>
        <charset val="1"/>
      </rPr>
      <t xml:space="preserve">(h)</t>
    </r>
  </si>
  <si>
    <t xml:space="preserve">状態</t>
  </si>
  <si>
    <t xml:space="preserve">企画・構成・目次設計</t>
  </si>
  <si>
    <t xml:space="preserve">制作</t>
  </si>
  <si>
    <t xml:space="preserve">完了</t>
  </si>
  <si>
    <t xml:space="preserve">原稿執筆・編集（合本）</t>
  </si>
  <si>
    <r>
      <rPr>
        <sz val="11"/>
        <color rgb="FF000000"/>
        <rFont val="Arial"/>
        <family val="0"/>
        <charset val="1"/>
      </rPr>
      <t xml:space="preserve">4</t>
    </r>
    <r>
      <rPr>
        <sz val="11"/>
        <color rgb="FF000000"/>
        <rFont val="Noto Sans CJK SC"/>
        <family val="2"/>
      </rPr>
      <t xml:space="preserve">コマ枠 設計・調整・削除</t>
    </r>
  </si>
  <si>
    <r>
      <rPr>
        <sz val="11"/>
        <color rgb="FF000000"/>
        <rFont val="Arial"/>
        <family val="0"/>
        <charset val="1"/>
      </rPr>
      <t xml:space="preserve">HTML</t>
    </r>
    <r>
      <rPr>
        <sz val="11"/>
        <color rgb="FF000000"/>
        <rFont val="Noto Sans CJK SC"/>
        <family val="2"/>
      </rPr>
      <t xml:space="preserve">ツール開発（</t>
    </r>
    <r>
      <rPr>
        <sz val="11"/>
        <color rgb="FF000000"/>
        <rFont val="Arial"/>
        <family val="0"/>
        <charset val="1"/>
      </rPr>
      <t xml:space="preserve">v2.2 PRO</t>
    </r>
    <r>
      <rPr>
        <sz val="11"/>
        <color rgb="FF000000"/>
        <rFont val="Noto Sans CJK SC"/>
        <family val="2"/>
      </rPr>
      <t xml:space="preserve">）</t>
    </r>
  </si>
  <si>
    <t xml:space="preserve">特典・学習ドキュメント一式</t>
  </si>
  <si>
    <r>
      <rPr>
        <sz val="11"/>
        <color rgb="FF000000"/>
        <rFont val="Arial"/>
        <family val="0"/>
        <charset val="1"/>
      </rPr>
      <t xml:space="preserve">QA</t>
    </r>
    <r>
      <rPr>
        <sz val="11"/>
        <color rgb="FF000000"/>
        <rFont val="Noto Sans CJK SC"/>
        <family val="2"/>
      </rPr>
      <t xml:space="preserve">（単体・結合・統合</t>
    </r>
    <r>
      <rPr>
        <sz val="11"/>
        <color rgb="FF000000"/>
        <rFont val="Arial"/>
        <family val="0"/>
        <charset val="1"/>
      </rPr>
      <t xml:space="preserve">/jsdom</t>
    </r>
    <r>
      <rPr>
        <sz val="11"/>
        <color rgb="FF000000"/>
        <rFont val="Noto Sans CJK SC"/>
        <family val="2"/>
      </rPr>
      <t xml:space="preserve">）</t>
    </r>
  </si>
  <si>
    <t xml:space="preserve">参考文献・引用確認</t>
  </si>
  <si>
    <t xml:space="preserve">表紙デザイン</t>
  </si>
  <si>
    <t xml:space="preserve">要最終確認</t>
  </si>
  <si>
    <r>
      <rPr>
        <sz val="11"/>
        <color rgb="FF000000"/>
        <rFont val="Noto Sans CJK SC"/>
        <family val="2"/>
      </rPr>
      <t xml:space="preserve">マーケ素材（</t>
    </r>
    <r>
      <rPr>
        <sz val="11"/>
        <color rgb="FF000000"/>
        <rFont val="Arial"/>
        <family val="0"/>
        <charset val="1"/>
      </rPr>
      <t xml:space="preserve">Amazon</t>
    </r>
    <r>
      <rPr>
        <sz val="11"/>
        <color rgb="FF000000"/>
        <rFont val="Noto Sans CJK SC"/>
        <family val="2"/>
      </rPr>
      <t xml:space="preserve">説明・</t>
    </r>
    <r>
      <rPr>
        <sz val="11"/>
        <color rgb="FF000000"/>
        <rFont val="Arial"/>
        <family val="0"/>
        <charset val="1"/>
      </rPr>
      <t xml:space="preserve">KW</t>
    </r>
    <r>
      <rPr>
        <sz val="11"/>
        <color rgb="FF000000"/>
        <rFont val="Noto Sans CJK SC"/>
        <family val="2"/>
      </rPr>
      <t xml:space="preserve">・告知）</t>
    </r>
  </si>
  <si>
    <t xml:space="preserve">申請準備</t>
  </si>
  <si>
    <r>
      <rPr>
        <sz val="11"/>
        <color rgb="FF000000"/>
        <rFont val="Noto Sans CJK SC"/>
        <family val="2"/>
      </rPr>
      <t xml:space="preserve">下書き完了（</t>
    </r>
    <r>
      <rPr>
        <sz val="11"/>
        <color rgb="FF000000"/>
        <rFont val="Arial"/>
        <family val="0"/>
        <charset val="1"/>
      </rPr>
      <t xml:space="preserve">KDP</t>
    </r>
    <r>
      <rPr>
        <sz val="11"/>
        <color rgb="FF000000"/>
        <rFont val="Noto Sans CJK SC"/>
        <family val="2"/>
      </rPr>
      <t xml:space="preserve">入力前）</t>
    </r>
  </si>
  <si>
    <r>
      <rPr>
        <sz val="11"/>
        <color rgb="FF000000"/>
        <rFont val="Noto Sans CJK SC"/>
        <family val="2"/>
      </rPr>
      <t xml:space="preserve">公開準備（</t>
    </r>
    <r>
      <rPr>
        <sz val="11"/>
        <color rgb="FF000000"/>
        <rFont val="Arial"/>
        <family val="0"/>
        <charset val="1"/>
      </rPr>
      <t xml:space="preserve">GitHub</t>
    </r>
    <r>
      <rPr>
        <sz val="11"/>
        <color rgb="FF000000"/>
        <rFont val="Noto Sans CJK SC"/>
        <family val="2"/>
      </rPr>
      <t xml:space="preserve">・</t>
    </r>
    <r>
      <rPr>
        <sz val="11"/>
        <color rgb="FF000000"/>
        <rFont val="Arial"/>
        <family val="0"/>
        <charset val="1"/>
      </rPr>
      <t xml:space="preserve">QR</t>
    </r>
    <r>
      <rPr>
        <sz val="11"/>
        <color rgb="FF000000"/>
        <rFont val="Noto Sans CJK SC"/>
        <family val="2"/>
      </rPr>
      <t xml:space="preserve">整合・連絡先・目次更新）</t>
    </r>
  </si>
  <si>
    <t xml:space="preserve">未着手</t>
  </si>
  <si>
    <r>
      <rPr>
        <sz val="11"/>
        <color rgb="FF000000"/>
        <rFont val="Arial"/>
        <family val="0"/>
        <charset val="1"/>
      </rPr>
      <t xml:space="preserve">KDP</t>
    </r>
    <r>
      <rPr>
        <sz val="11"/>
        <color rgb="FF000000"/>
        <rFont val="Noto Sans CJK SC"/>
        <family val="2"/>
      </rPr>
      <t xml:space="preserve">出稿（入力・プレビュー・価格・</t>
    </r>
    <r>
      <rPr>
        <sz val="11"/>
        <color rgb="FF000000"/>
        <rFont val="Arial"/>
        <family val="0"/>
        <charset val="1"/>
      </rPr>
      <t xml:space="preserve">AI</t>
    </r>
    <r>
      <rPr>
        <sz val="11"/>
        <color rgb="FF000000"/>
        <rFont val="Noto Sans CJK SC"/>
        <family val="2"/>
      </rPr>
      <t xml:space="preserve">開示・出版）</t>
    </r>
  </si>
  <si>
    <t xml:space="preserve">発売後（告知・献本）</t>
  </si>
  <si>
    <t xml:space="preserve">発売後</t>
  </si>
  <si>
    <t xml:space="preserve">未着手（発売後）</t>
  </si>
  <si>
    <t xml:space="preserve">合計</t>
  </si>
  <si>
    <t xml:space="preserve">サマリー</t>
  </si>
  <si>
    <r>
      <rPr>
        <sz val="11"/>
        <color rgb="FF000000"/>
        <rFont val="Noto Sans CJK SC"/>
        <family val="2"/>
      </rPr>
      <t xml:space="preserve">総工数（概算</t>
    </r>
    <r>
      <rPr>
        <sz val="11"/>
        <color rgb="FF000000"/>
        <rFont val="Arial"/>
        <family val="0"/>
        <charset val="1"/>
      </rPr>
      <t xml:space="preserve">h</t>
    </r>
    <r>
      <rPr>
        <sz val="11"/>
        <color rgb="FF000000"/>
        <rFont val="Noto Sans CJK SC"/>
        <family val="2"/>
      </rPr>
      <t xml:space="preserve">）</t>
    </r>
  </si>
  <si>
    <r>
      <rPr>
        <sz val="11"/>
        <color rgb="FF000000"/>
        <rFont val="Noto Sans CJK SC"/>
        <family val="2"/>
      </rPr>
      <t xml:space="preserve">完了工数（概算</t>
    </r>
    <r>
      <rPr>
        <sz val="11"/>
        <color rgb="FF000000"/>
        <rFont val="Arial"/>
        <family val="0"/>
        <charset val="1"/>
      </rPr>
      <t xml:space="preserve">h</t>
    </r>
    <r>
      <rPr>
        <sz val="11"/>
        <color rgb="FF000000"/>
        <rFont val="Noto Sans CJK SC"/>
        <family val="2"/>
      </rPr>
      <t xml:space="preserve">）</t>
    </r>
  </si>
  <si>
    <t xml:space="preserve">全体進捗率</t>
  </si>
  <si>
    <r>
      <rPr>
        <sz val="11"/>
        <color rgb="FF000000"/>
        <rFont val="Noto Sans CJK SC"/>
        <family val="2"/>
      </rPr>
      <t xml:space="preserve">申請までの工数（発売後を除く</t>
    </r>
    <r>
      <rPr>
        <sz val="11"/>
        <color rgb="FF000000"/>
        <rFont val="Arial"/>
        <family val="0"/>
        <charset val="1"/>
      </rPr>
      <t xml:space="preserve">, h</t>
    </r>
    <r>
      <rPr>
        <sz val="11"/>
        <color rgb="FF000000"/>
        <rFont val="Noto Sans CJK SC"/>
        <family val="2"/>
      </rPr>
      <t xml:space="preserve">）</t>
    </r>
  </si>
  <si>
    <r>
      <rPr>
        <sz val="11"/>
        <color rgb="FF000000"/>
        <rFont val="Noto Sans CJK SC"/>
        <family val="2"/>
      </rPr>
      <t xml:space="preserve">申請までの完了工数（</t>
    </r>
    <r>
      <rPr>
        <sz val="11"/>
        <color rgb="FF000000"/>
        <rFont val="Arial"/>
        <family val="0"/>
        <charset val="1"/>
      </rPr>
      <t xml:space="preserve">h</t>
    </r>
    <r>
      <rPr>
        <sz val="11"/>
        <color rgb="FF000000"/>
        <rFont val="Noto Sans CJK SC"/>
        <family val="2"/>
      </rPr>
      <t xml:space="preserve">）</t>
    </r>
  </si>
  <si>
    <t xml:space="preserve">申請までの進捗率</t>
  </si>
  <si>
    <r>
      <rPr>
        <sz val="11"/>
        <color rgb="FF000000"/>
        <rFont val="Noto Sans CJK SC"/>
        <family val="2"/>
      </rPr>
      <t xml:space="preserve">残工数（申請まで</t>
    </r>
    <r>
      <rPr>
        <sz val="11"/>
        <color rgb="FF000000"/>
        <rFont val="Arial"/>
        <family val="0"/>
        <charset val="1"/>
      </rPr>
      <t xml:space="preserve">, h</t>
    </r>
    <r>
      <rPr>
        <sz val="11"/>
        <color rgb="FF000000"/>
        <rFont val="Noto Sans CJK SC"/>
        <family val="2"/>
      </rPr>
      <t xml:space="preserve">）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</si>
</sst>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"/>
    <numFmt numFmtId="167" formatCode="General"/>
    <numFmt numFmtId="168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22B45"/>
      <name val="Noto Sans CJK SC"/>
      <family val="2"/>
    </font>
    <font>
      <sz val="9"/>
      <color rgb="FF666666"/>
      <name val="Noto Sans CJK SC"/>
      <family val="2"/>
    </font>
    <font>
      <sz val="9"/>
      <color rgb="FF666666"/>
      <name val="Arial"/>
      <family val="0"/>
      <charset val="1"/>
    </font>
    <font>
      <sz val="9"/>
      <color rgb="FF996600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color rgb="FF000000"/>
      <name val="Noto Sans CJK SC"/>
      <family val="2"/>
    </font>
    <font>
      <sz val="11"/>
      <color rgb="FF000000"/>
      <name val="Arial"/>
      <family val="0"/>
      <charset val="1"/>
    </font>
    <font>
      <b val="true"/>
      <sz val="11"/>
      <color rgb="FF000000"/>
      <name val="Noto Sans CJK SC"/>
      <family val="2"/>
    </font>
    <font>
      <b val="true"/>
      <sz val="11"/>
      <color rgb="FF000000"/>
      <name val="Arial"/>
      <family val="0"/>
      <charset val="1"/>
    </font>
    <font>
      <b val="true"/>
      <sz val="12"/>
      <color rgb="FF222B45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EECE7"/>
      </patternFill>
    </fill>
    <fill>
      <patternFill patternType="solid">
        <fgColor rgb="FF222B45"/>
        <bgColor rgb="FF003366"/>
      </patternFill>
    </fill>
    <fill>
      <patternFill patternType="solid">
        <fgColor rgb="FFEEECE7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5"/>
      </left>
      <right style="thin">
        <color rgb="FFD9D2C5"/>
      </right>
      <top style="thin">
        <color rgb="FFD9D2C5"/>
      </top>
      <bottom style="thin">
        <color rgb="FFD9D2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00"/>
      <rgbColor rgb="FF800080"/>
      <rgbColor rgb="FF008080"/>
      <rgbColor rgb="FFD9D2C5"/>
      <rgbColor rgb="FF808080"/>
      <rgbColor rgb="FF9999FF"/>
      <rgbColor rgb="FF993366"/>
      <rgbColor rgb="FFFFF2CC"/>
      <rgbColor rgb="FFEEE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B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9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2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7.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7.15" hidden="false" customHeight="false" outlineLevel="0" collapsed="false">
      <c r="A6" s="5" t="s">
        <v>10</v>
      </c>
      <c r="B6" s="6" t="s">
        <v>11</v>
      </c>
      <c r="C6" s="6" t="n">
        <v>8</v>
      </c>
      <c r="D6" s="7" t="n">
        <v>1</v>
      </c>
      <c r="E6" s="8" t="n">
        <f aca="false">C6*D6</f>
        <v>8</v>
      </c>
      <c r="F6" s="8" t="n">
        <f aca="false">C6*(1-D6)</f>
        <v>0</v>
      </c>
      <c r="G6" s="5" t="s">
        <v>12</v>
      </c>
    </row>
    <row r="7" customFormat="false" ht="17.15" hidden="false" customHeight="false" outlineLevel="0" collapsed="false">
      <c r="A7" s="5" t="s">
        <v>13</v>
      </c>
      <c r="B7" s="6" t="s">
        <v>11</v>
      </c>
      <c r="C7" s="6" t="n">
        <v>40</v>
      </c>
      <c r="D7" s="7" t="n">
        <v>1</v>
      </c>
      <c r="E7" s="8" t="n">
        <f aca="false">C7*D7</f>
        <v>40</v>
      </c>
      <c r="F7" s="8" t="n">
        <f aca="false">C7*(1-D7)</f>
        <v>0</v>
      </c>
      <c r="G7" s="5" t="s">
        <v>12</v>
      </c>
    </row>
    <row r="8" customFormat="false" ht="17.15" hidden="false" customHeight="false" outlineLevel="0" collapsed="false">
      <c r="A8" s="9" t="s">
        <v>14</v>
      </c>
      <c r="B8" s="6" t="s">
        <v>11</v>
      </c>
      <c r="C8" s="6" t="n">
        <v>2</v>
      </c>
      <c r="D8" s="7" t="n">
        <v>1</v>
      </c>
      <c r="E8" s="8" t="n">
        <f aca="false">C8*D8</f>
        <v>2</v>
      </c>
      <c r="F8" s="8" t="n">
        <f aca="false">C8*(1-D8)</f>
        <v>0</v>
      </c>
      <c r="G8" s="5" t="s">
        <v>12</v>
      </c>
    </row>
    <row r="9" customFormat="false" ht="17.15" hidden="false" customHeight="false" outlineLevel="0" collapsed="false">
      <c r="A9" s="9" t="s">
        <v>15</v>
      </c>
      <c r="B9" s="6" t="s">
        <v>11</v>
      </c>
      <c r="C9" s="6" t="n">
        <v>30</v>
      </c>
      <c r="D9" s="7" t="n">
        <v>1</v>
      </c>
      <c r="E9" s="8" t="n">
        <f aca="false">C9*D9</f>
        <v>30</v>
      </c>
      <c r="F9" s="8" t="n">
        <f aca="false">C9*(1-D9)</f>
        <v>0</v>
      </c>
      <c r="G9" s="5" t="s">
        <v>12</v>
      </c>
    </row>
    <row r="10" customFormat="false" ht="17.15" hidden="false" customHeight="false" outlineLevel="0" collapsed="false">
      <c r="A10" s="5" t="s">
        <v>16</v>
      </c>
      <c r="B10" s="6" t="s">
        <v>11</v>
      </c>
      <c r="C10" s="6" t="n">
        <v>16</v>
      </c>
      <c r="D10" s="7" t="n">
        <v>1</v>
      </c>
      <c r="E10" s="8" t="n">
        <f aca="false">C10*D10</f>
        <v>16</v>
      </c>
      <c r="F10" s="8" t="n">
        <f aca="false">C10*(1-D10)</f>
        <v>0</v>
      </c>
      <c r="G10" s="5" t="s">
        <v>12</v>
      </c>
    </row>
    <row r="11" customFormat="false" ht="17.15" hidden="false" customHeight="false" outlineLevel="0" collapsed="false">
      <c r="A11" s="9" t="s">
        <v>17</v>
      </c>
      <c r="B11" s="6" t="s">
        <v>11</v>
      </c>
      <c r="C11" s="6" t="n">
        <v>8</v>
      </c>
      <c r="D11" s="7" t="n">
        <v>1</v>
      </c>
      <c r="E11" s="8" t="n">
        <f aca="false">C11*D11</f>
        <v>8</v>
      </c>
      <c r="F11" s="8" t="n">
        <f aca="false">C11*(1-D11)</f>
        <v>0</v>
      </c>
      <c r="G11" s="5" t="s">
        <v>12</v>
      </c>
    </row>
    <row r="12" customFormat="false" ht="17.15" hidden="false" customHeight="false" outlineLevel="0" collapsed="false">
      <c r="A12" s="5" t="s">
        <v>18</v>
      </c>
      <c r="B12" s="6" t="s">
        <v>11</v>
      </c>
      <c r="C12" s="6" t="n">
        <v>4</v>
      </c>
      <c r="D12" s="7" t="n">
        <v>1</v>
      </c>
      <c r="E12" s="8" t="n">
        <f aca="false">C12*D12</f>
        <v>4</v>
      </c>
      <c r="F12" s="8" t="n">
        <f aca="false">C12*(1-D12)</f>
        <v>0</v>
      </c>
      <c r="G12" s="5" t="s">
        <v>12</v>
      </c>
    </row>
    <row r="13" customFormat="false" ht="17.15" hidden="false" customHeight="false" outlineLevel="0" collapsed="false">
      <c r="A13" s="5" t="s">
        <v>19</v>
      </c>
      <c r="B13" s="6" t="s">
        <v>11</v>
      </c>
      <c r="C13" s="6" t="n">
        <v>3</v>
      </c>
      <c r="D13" s="7" t="n">
        <v>0.9</v>
      </c>
      <c r="E13" s="8" t="n">
        <f aca="false">C13*D13</f>
        <v>2.7</v>
      </c>
      <c r="F13" s="8" t="n">
        <f aca="false">C13*(1-D13)</f>
        <v>0.3</v>
      </c>
      <c r="G13" s="5" t="s">
        <v>20</v>
      </c>
    </row>
    <row r="14" customFormat="false" ht="17.15" hidden="false" customHeight="false" outlineLevel="0" collapsed="false">
      <c r="A14" s="5" t="s">
        <v>21</v>
      </c>
      <c r="B14" s="6" t="s">
        <v>22</v>
      </c>
      <c r="C14" s="6" t="n">
        <v>6</v>
      </c>
      <c r="D14" s="7" t="n">
        <v>0.9</v>
      </c>
      <c r="E14" s="8" t="n">
        <f aca="false">C14*D14</f>
        <v>5.4</v>
      </c>
      <c r="F14" s="8" t="n">
        <f aca="false">C14*(1-D14)</f>
        <v>0.6</v>
      </c>
      <c r="G14" s="5" t="s">
        <v>23</v>
      </c>
    </row>
    <row r="15" customFormat="false" ht="32.8" hidden="false" customHeight="false" outlineLevel="0" collapsed="false">
      <c r="A15" s="5" t="s">
        <v>24</v>
      </c>
      <c r="B15" s="6" t="s">
        <v>22</v>
      </c>
      <c r="C15" s="6" t="n">
        <v>3</v>
      </c>
      <c r="D15" s="7" t="n">
        <v>0</v>
      </c>
      <c r="E15" s="8" t="n">
        <f aca="false">C15*D15</f>
        <v>0</v>
      </c>
      <c r="F15" s="8" t="n">
        <f aca="false">C15*(1-D15)</f>
        <v>3</v>
      </c>
      <c r="G15" s="5" t="s">
        <v>25</v>
      </c>
    </row>
    <row r="16" customFormat="false" ht="32.8" hidden="false" customHeight="false" outlineLevel="0" collapsed="false">
      <c r="A16" s="9" t="s">
        <v>26</v>
      </c>
      <c r="B16" s="6" t="s">
        <v>22</v>
      </c>
      <c r="C16" s="6" t="n">
        <v>3</v>
      </c>
      <c r="D16" s="7" t="n">
        <v>0</v>
      </c>
      <c r="E16" s="8" t="n">
        <f aca="false">C16*D16</f>
        <v>0</v>
      </c>
      <c r="F16" s="8" t="n">
        <f aca="false">C16*(1-D16)</f>
        <v>3</v>
      </c>
      <c r="G16" s="5" t="s">
        <v>25</v>
      </c>
    </row>
    <row r="17" customFormat="false" ht="17.15" hidden="false" customHeight="false" outlineLevel="0" collapsed="false">
      <c r="A17" s="5" t="s">
        <v>27</v>
      </c>
      <c r="B17" s="6" t="s">
        <v>28</v>
      </c>
      <c r="C17" s="6" t="n">
        <v>3</v>
      </c>
      <c r="D17" s="7" t="n">
        <v>0</v>
      </c>
      <c r="E17" s="8" t="n">
        <f aca="false">C17*D17</f>
        <v>0</v>
      </c>
      <c r="F17" s="8" t="n">
        <f aca="false">C17*(1-D17)</f>
        <v>3</v>
      </c>
      <c r="G17" s="5" t="s">
        <v>29</v>
      </c>
    </row>
    <row r="18" customFormat="false" ht="15" hidden="false" customHeight="false" outlineLevel="0" collapsed="false">
      <c r="A18" s="10" t="s">
        <v>30</v>
      </c>
      <c r="B18" s="11"/>
      <c r="C18" s="12" t="n">
        <f aca="false">SUM(C6:C17)</f>
        <v>126</v>
      </c>
      <c r="D18" s="13" t="n">
        <f aca="false">E18/C18</f>
        <v>0.921428571428572</v>
      </c>
      <c r="E18" s="14" t="n">
        <f aca="false">SUM(E6:E17)</f>
        <v>116.1</v>
      </c>
      <c r="F18" s="14" t="n">
        <f aca="false">SUM(F6:F17)</f>
        <v>9.9</v>
      </c>
      <c r="G18" s="11"/>
    </row>
    <row r="20" customFormat="false" ht="15" hidden="false" customHeight="false" outlineLevel="0" collapsed="false">
      <c r="A20" s="15" t="s">
        <v>31</v>
      </c>
    </row>
    <row r="21" customFormat="false" ht="17.15" hidden="false" customHeight="false" outlineLevel="0" collapsed="false">
      <c r="A21" s="16" t="s">
        <v>32</v>
      </c>
      <c r="B21" s="17" t="n">
        <f aca="false">C18</f>
        <v>126</v>
      </c>
      <c r="C21" s="17"/>
    </row>
    <row r="22" customFormat="false" ht="17.15" hidden="false" customHeight="false" outlineLevel="0" collapsed="false">
      <c r="A22" s="16" t="s">
        <v>33</v>
      </c>
      <c r="B22" s="17" t="n">
        <f aca="false">E18</f>
        <v>116.1</v>
      </c>
      <c r="C22" s="17"/>
    </row>
    <row r="23" customFormat="false" ht="15" hidden="false" customHeight="false" outlineLevel="0" collapsed="false">
      <c r="A23" s="16" t="s">
        <v>34</v>
      </c>
      <c r="B23" s="18" t="n">
        <f aca="false">E18/C18</f>
        <v>0.921428571428572</v>
      </c>
      <c r="C23" s="18"/>
    </row>
    <row r="24" customFormat="false" ht="17.15" hidden="false" customHeight="false" outlineLevel="0" collapsed="false">
      <c r="A24" s="16" t="s">
        <v>35</v>
      </c>
      <c r="B24" s="17" t="n">
        <f aca="false">SUMIF(B6:B17,"&lt;&gt;発売後",C6:C17)</f>
        <v>123</v>
      </c>
      <c r="C24" s="17"/>
    </row>
    <row r="25" customFormat="false" ht="17.15" hidden="false" customHeight="false" outlineLevel="0" collapsed="false">
      <c r="A25" s="16" t="s">
        <v>36</v>
      </c>
      <c r="B25" s="17" t="n">
        <f aca="false">SUMIF(B6:B17,"&lt;&gt;発売後",E6:E17)</f>
        <v>116.1</v>
      </c>
      <c r="C25" s="17"/>
    </row>
    <row r="26" customFormat="false" ht="15" hidden="false" customHeight="false" outlineLevel="0" collapsed="false">
      <c r="A26" s="16" t="s">
        <v>37</v>
      </c>
      <c r="B26" s="18" t="n">
        <f aca="false">SUMIF(B6:B17,"&lt;&gt;発売後",E6:E17)/SUMIF(B6:B17,"&lt;&gt;発売後",C6:C17)</f>
        <v>0.94390243902439</v>
      </c>
      <c r="C26" s="18"/>
    </row>
    <row r="27" customFormat="false" ht="17.15" hidden="false" customHeight="false" outlineLevel="0" collapsed="false">
      <c r="A27" s="16" t="s">
        <v>38</v>
      </c>
      <c r="B27" s="17" t="n">
        <f aca="false">SUMIF(B6:B17,"&lt;&gt;発売後",F6:F17)</f>
        <v>6.9</v>
      </c>
      <c r="C27" s="17"/>
    </row>
  </sheetData>
  <mergeCells count="10">
    <mergeCell ref="A1:G1"/>
    <mergeCell ref="A2:G2"/>
    <mergeCell ref="A3:G3"/>
    <mergeCell ref="B21:C21"/>
    <mergeCell ref="B22:C22"/>
    <mergeCell ref="B23:C23"/>
    <mergeCell ref="B24:C24"/>
    <mergeCell ref="B25:C25"/>
    <mergeCell ref="B26:C26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2026-10-10T03:35:51Z</dcterms:created>
  <dc:creator>openpyxl</dc:creator>
  <dc:description/>
  <dc:language>en-US</dc:language>
  <cp:lastModifiedBy/>
  <dcterms:modified xsi:type="dcterms:W3CDTF">2026-10-10T03:35:51Z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